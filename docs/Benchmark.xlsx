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-p\Desktop\ABA_app\docs\"/>
    </mc:Choice>
  </mc:AlternateContent>
  <xr:revisionPtr revIDLastSave="0" documentId="13_ncr:1_{FCA7BDEB-EE3B-47B2-A33C-91973186E6DF}" xr6:coauthVersionLast="47" xr6:coauthVersionMax="47" xr10:uidLastSave="{00000000-0000-0000-0000-000000000000}"/>
  <bookViews>
    <workbookView xWindow="-108" yWindow="-108" windowWidth="23256" windowHeight="12456" activeTab="2" xr2:uid="{7E884F2B-61A4-4E03-953B-C5E0365E2C58}"/>
  </bookViews>
  <sheets>
    <sheet name="Stolní PC" sheetId="1" r:id="rId1"/>
    <sheet name="Notebook" sheetId="2" r:id="rId2"/>
    <sheet name="Shrnut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0" i="2" l="1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E39" i="1"/>
  <c r="F39" i="1"/>
  <c r="G39" i="1"/>
  <c r="H39" i="1"/>
  <c r="I39" i="1"/>
  <c r="J39" i="1"/>
  <c r="K39" i="1"/>
  <c r="L39" i="1"/>
  <c r="M39" i="1"/>
  <c r="N39" i="1"/>
  <c r="G38" i="1"/>
  <c r="D38" i="1"/>
  <c r="D39" i="1"/>
  <c r="E38" i="1"/>
  <c r="F38" i="1"/>
  <c r="H38" i="1"/>
  <c r="I38" i="1"/>
  <c r="J38" i="1"/>
  <c r="K38" i="1"/>
  <c r="L38" i="1"/>
  <c r="M38" i="1"/>
  <c r="N38" i="1"/>
  <c r="E37" i="1"/>
  <c r="F37" i="1"/>
  <c r="G37" i="1"/>
  <c r="H37" i="1"/>
  <c r="I37" i="1"/>
  <c r="J37" i="1"/>
  <c r="K37" i="1"/>
  <c r="L37" i="1"/>
  <c r="M37" i="1"/>
  <c r="N37" i="1"/>
  <c r="D37" i="1"/>
  <c r="I36" i="1"/>
  <c r="H36" i="1"/>
  <c r="G36" i="1"/>
  <c r="J36" i="1"/>
  <c r="K36" i="1"/>
  <c r="L36" i="1"/>
  <c r="M36" i="1"/>
  <c r="N36" i="1"/>
  <c r="F36" i="1"/>
  <c r="E36" i="1"/>
  <c r="D36" i="1"/>
  <c r="C39" i="1"/>
  <c r="C38" i="1"/>
  <c r="C37" i="1"/>
  <c r="C36" i="1"/>
</calcChain>
</file>

<file path=xl/sharedStrings.xml><?xml version="1.0" encoding="utf-8"?>
<sst xmlns="http://schemas.openxmlformats.org/spreadsheetml/2006/main" count="84" uniqueCount="24">
  <si>
    <t>User Keygen</t>
  </si>
  <si>
    <t>Crypto commitment</t>
  </si>
  <si>
    <t>Blind Signature</t>
  </si>
  <si>
    <t>Phase Sign (Issuance)</t>
  </si>
  <si>
    <t>Wallet &amp; Keys Load (I/O)</t>
  </si>
  <si>
    <t> Data Embedding</t>
  </si>
  <si>
    <t>Fiat-Shamir Execute</t>
  </si>
  <si>
    <t>Phase Gen (Prover)</t>
  </si>
  <si>
    <t>RAM Setup (Allocation)</t>
  </si>
  <si>
    <t>PK &amp; Proof Load (I/O)</t>
  </si>
  <si>
    <t>Mathematical Verify</t>
  </si>
  <si>
    <t>Phase Verify (Verifier)</t>
  </si>
  <si>
    <t>Issuer Phase [ms]</t>
  </si>
  <si>
    <t>Prover Phase  [ms]</t>
  </si>
  <si>
    <t>Verifier Phase  [ms]</t>
  </si>
  <si>
    <t>Průměř</t>
  </si>
  <si>
    <t>Median</t>
  </si>
  <si>
    <t>Min</t>
  </si>
  <si>
    <t>Max</t>
  </si>
  <si>
    <t xml:space="preserve">Stolní PC </t>
  </si>
  <si>
    <t xml:space="preserve">Notebook </t>
  </si>
  <si>
    <t>Stolní PC</t>
  </si>
  <si>
    <t>Notebook</t>
  </si>
  <si>
    <t>Průměr 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</si>
</sst>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2" fillId="0" borderId="0" xfId="0" applyNumberFormat="1" applyFont="1"/>
    <xf numFmtId="2" fontId="2" fillId="0" borderId="4" xfId="0" applyNumberFormat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12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2" fillId="0" borderId="0" xfId="0" applyFont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2" fontId="2" fillId="0" borderId="0" xfId="0" applyNumberFormat="1" applyFont="1" applyBorder="1"/>
    <xf numFmtId="0" fontId="0" fillId="0" borderId="14" xfId="0" applyBorder="1"/>
    <xf numFmtId="0" fontId="0" fillId="0" borderId="15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600" b="1">
                <a:solidFill>
                  <a:sysClr val="windowText" lastClr="000000"/>
                </a:solidFill>
              </a:rPr>
              <a:t>Průměrný čas fází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Shrnuti!$L$11</c:f>
              <c:strCache>
                <c:ptCount val="1"/>
                <c:pt idx="0">
                  <c:v>Stolní PC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Shrnuti!$M$10:$O$10</c:f>
              <c:strCache>
                <c:ptCount val="3"/>
                <c:pt idx="0">
                  <c:v>Phase Sign (Issuance)</c:v>
                </c:pt>
                <c:pt idx="1">
                  <c:v>Phase Gen (Prover)</c:v>
                </c:pt>
                <c:pt idx="2">
                  <c:v>Phase Verify (Verifier)</c:v>
                </c:pt>
              </c:strCache>
            </c:strRef>
          </c:cat>
          <c:val>
            <c:numRef>
              <c:f>Shrnuti!$M$11:$O$11</c:f>
              <c:numCache>
                <c:formatCode>0.00</c:formatCode>
                <c:ptCount val="3"/>
                <c:pt idx="0">
                  <c:v>315.16566666666671</c:v>
                </c:pt>
                <c:pt idx="1">
                  <c:v>1352.7216666666661</c:v>
                </c:pt>
                <c:pt idx="2">
                  <c:v>692.83066666666684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1-49F3-A7E1-0877AF03EDFC}"/>
            </c:ext>
          </c:extLst>
        </c:ser>
        <c:ser>
          <c:idx val="1"/>
          <c:order val="1"/>
          <c:tx>
            <c:strRef>
              <c:f>Shrnuti!$L$12</c:f>
              <c:strCache>
                <c:ptCount val="1"/>
                <c:pt idx="0">
                  <c:v>Notebook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Shrnuti!$M$10:$O$10</c:f>
              <c:strCache>
                <c:ptCount val="3"/>
                <c:pt idx="0">
                  <c:v>Phase Sign (Issuance)</c:v>
                </c:pt>
                <c:pt idx="1">
                  <c:v>Phase Gen (Prover)</c:v>
                </c:pt>
                <c:pt idx="2">
                  <c:v>Phase Verify (Verifier)</c:v>
                </c:pt>
              </c:strCache>
            </c:strRef>
          </c:cat>
          <c:val>
            <c:numRef>
              <c:f>Shrnuti!$M$12:$O$12</c:f>
              <c:numCache>
                <c:formatCode>0.00</c:formatCode>
                <c:ptCount val="3"/>
                <c:pt idx="0">
                  <c:v>205.74866666666665</c:v>
                </c:pt>
                <c:pt idx="1">
                  <c:v>1009.279</c:v>
                </c:pt>
                <c:pt idx="2">
                  <c:v>438.7913333333334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1-49F3-A7E1-0877AF03ED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9101663"/>
        <c:axId val="1099110783"/>
      </c:barChart>
      <c:catAx>
        <c:axId val="109910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/>
                  <a:t> </a:t>
                </a:r>
                <a:r>
                  <a:rPr lang="cs-CZ" sz="1200" b="1" i="0" u="none" strike="noStrike" kern="1200" baseline="0">
                    <a:solidFill>
                      <a:sysClr val="windowText" lastClr="000000"/>
                    </a:solidFill>
                  </a:rPr>
                  <a:t>Měřená fáze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99110783"/>
        <c:crosses val="autoZero"/>
        <c:auto val="1"/>
        <c:lblAlgn val="ctr"/>
        <c:lblOffset val="100"/>
        <c:noMultiLvlLbl val="0"/>
      </c:catAx>
      <c:valAx>
        <c:axId val="10991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 b="1" baseline="0">
                    <a:solidFill>
                      <a:sysClr val="windowText" lastClr="000000"/>
                    </a:solidFill>
                  </a:rPr>
                  <a:t>Průměrný čas [ms]</a:t>
                </a:r>
                <a:endParaRPr lang="cs-CZ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9910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211015</xdr:colOff>
      <xdr:row>40</xdr:row>
      <xdr:rowOff>168452</xdr:rowOff>
    </xdr:from>
    <xdr:to>
      <xdr:col>12</xdr:col>
      <xdr:colOff>236868</xdr:colOff>
      <xdr:row>52</xdr:row>
      <xdr:rowOff>44927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7001576C-74BD-A4C7-E1E5-390DB6D92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890" y="8150402"/>
          <a:ext cx="11865428" cy="204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42</xdr:row>
      <xdr:rowOff>71718</xdr:rowOff>
    </xdr:from>
    <xdr:to>
      <xdr:col>11</xdr:col>
      <xdr:colOff>1199730</xdr:colOff>
      <xdr:row>55</xdr:row>
      <xdr:rowOff>84372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68690E9B-0FC7-BE29-608F-8370F1B2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424" y="8310283"/>
          <a:ext cx="13051071" cy="2343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517865</xdr:colOff>
      <xdr:row>8</xdr:row>
      <xdr:rowOff>147961</xdr:rowOff>
    </xdr:from>
    <xdr:to>
      <xdr:col>7</xdr:col>
      <xdr:colOff>322721</xdr:colOff>
      <xdr:row>27</xdr:row>
      <xdr:rowOff>123218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C624E03-757B-4FB7-B67B-6F08AA5FF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B4D2-DDBA-4931-9364-5FDD170B6CED}">
  <dimension ref="B1:N39"/>
  <sheetViews>
    <sheetView topLeftCell="A20" zoomScale="80" zoomScaleNormal="80" workbookViewId="0">
      <selection activeCell="C46" sqref="C46"/>
    </sheetView>
  </sheetViews>
  <sheetFormatPr defaultRowHeight="14.4" x14ac:dyDescent="0.3"/>
  <cols>
    <col min="3" max="3" width="12.109375" bestFit="1" customWidth="1"/>
    <col min="4" max="4" width="19" bestFit="1" customWidth="1"/>
    <col min="5" max="5" width="14.5546875" bestFit="1" customWidth="1"/>
    <col min="6" max="6" width="20.109375" bestFit="1" customWidth="1"/>
    <col min="7" max="7" width="23.33203125" bestFit="1" customWidth="1"/>
    <col min="8" max="8" width="16" bestFit="1" customWidth="1"/>
    <col min="9" max="9" width="18.88671875" bestFit="1" customWidth="1"/>
    <col min="10" max="10" width="18.44140625" bestFit="1" customWidth="1"/>
    <col min="11" max="11" width="22.109375" bestFit="1" customWidth="1"/>
    <col min="12" max="12" width="20.109375" bestFit="1" customWidth="1"/>
    <col min="13" max="13" width="19.44140625" bestFit="1" customWidth="1"/>
    <col min="14" max="14" width="21.109375" bestFit="1" customWidth="1"/>
  </cols>
  <sheetData>
    <row r="1" spans="2:14" ht="15" thickBot="1" x14ac:dyDescent="0.35"/>
    <row r="2" spans="2:14" ht="24" thickBot="1" x14ac:dyDescent="0.5">
      <c r="C2" s="38" t="s">
        <v>12</v>
      </c>
      <c r="D2" s="39"/>
      <c r="E2" s="39"/>
      <c r="F2" s="40"/>
      <c r="G2" s="41" t="s">
        <v>13</v>
      </c>
      <c r="H2" s="42"/>
      <c r="I2" s="42"/>
      <c r="J2" s="43"/>
      <c r="K2" s="44" t="s">
        <v>14</v>
      </c>
      <c r="L2" s="45"/>
      <c r="M2" s="45"/>
      <c r="N2" s="46"/>
    </row>
    <row r="3" spans="2:14" x14ac:dyDescent="0.3">
      <c r="C3" s="1" t="s">
        <v>0</v>
      </c>
      <c r="D3" s="2" t="s">
        <v>1</v>
      </c>
      <c r="E3" s="2" t="s">
        <v>2</v>
      </c>
      <c r="F3" s="3" t="s">
        <v>3</v>
      </c>
      <c r="G3" s="1" t="s">
        <v>4</v>
      </c>
      <c r="H3" s="2" t="s">
        <v>5</v>
      </c>
      <c r="I3" s="2" t="s">
        <v>6</v>
      </c>
      <c r="J3" s="3" t="s">
        <v>7</v>
      </c>
      <c r="K3" s="1" t="s">
        <v>8</v>
      </c>
      <c r="L3" s="2" t="s">
        <v>9</v>
      </c>
      <c r="M3" s="2" t="s">
        <v>10</v>
      </c>
      <c r="N3" s="3" t="s">
        <v>11</v>
      </c>
    </row>
    <row r="4" spans="2:14" ht="15.6" x14ac:dyDescent="0.3">
      <c r="B4" s="19">
        <v>1</v>
      </c>
      <c r="C4" s="5">
        <v>2.83</v>
      </c>
      <c r="D4" s="4">
        <v>1.74</v>
      </c>
      <c r="E4" s="4">
        <v>332.7</v>
      </c>
      <c r="F4" s="6">
        <v>337.28</v>
      </c>
      <c r="G4" s="5">
        <v>3.29</v>
      </c>
      <c r="H4" s="4">
        <v>10.11</v>
      </c>
      <c r="I4" s="4">
        <v>1256.1600000000001</v>
      </c>
      <c r="J4" s="6">
        <v>1269.56</v>
      </c>
      <c r="K4" s="5">
        <v>0.03</v>
      </c>
      <c r="L4" s="4">
        <v>15.1</v>
      </c>
      <c r="M4" s="4">
        <v>672.12</v>
      </c>
      <c r="N4" s="6">
        <v>687.25</v>
      </c>
    </row>
    <row r="5" spans="2:14" ht="15.6" x14ac:dyDescent="0.3">
      <c r="B5" s="19">
        <v>2</v>
      </c>
      <c r="C5" s="5">
        <v>2.88</v>
      </c>
      <c r="D5" s="4">
        <v>2.16</v>
      </c>
      <c r="E5" s="4">
        <v>297.20999999999998</v>
      </c>
      <c r="F5" s="6">
        <v>302.26</v>
      </c>
      <c r="G5" s="5">
        <v>2.38</v>
      </c>
      <c r="H5" s="4">
        <v>10.43</v>
      </c>
      <c r="I5" s="4">
        <v>879.52</v>
      </c>
      <c r="J5" s="6">
        <v>892.33</v>
      </c>
      <c r="K5" s="5">
        <v>0.03</v>
      </c>
      <c r="L5" s="4">
        <v>14.26</v>
      </c>
      <c r="M5" s="4">
        <v>625.82000000000005</v>
      </c>
      <c r="N5" s="6">
        <v>640.11</v>
      </c>
    </row>
    <row r="6" spans="2:14" ht="15.6" x14ac:dyDescent="0.3">
      <c r="B6" s="19">
        <v>3</v>
      </c>
      <c r="C6" s="5">
        <v>2.65</v>
      </c>
      <c r="D6" s="4">
        <v>1.68</v>
      </c>
      <c r="E6" s="4">
        <v>351.78</v>
      </c>
      <c r="F6" s="6">
        <v>356.11</v>
      </c>
      <c r="G6" s="5">
        <v>3.26</v>
      </c>
      <c r="H6" s="4">
        <v>10.210000000000001</v>
      </c>
      <c r="I6" s="4">
        <v>1444.45</v>
      </c>
      <c r="J6" s="6">
        <v>1454.92</v>
      </c>
      <c r="K6" s="5">
        <v>7.0000000000000007E-2</v>
      </c>
      <c r="L6" s="4">
        <v>20.09</v>
      </c>
      <c r="M6" s="4">
        <v>782.17</v>
      </c>
      <c r="N6" s="6">
        <v>802.34</v>
      </c>
    </row>
    <row r="7" spans="2:14" ht="15.6" x14ac:dyDescent="0.3">
      <c r="B7" s="19">
        <v>4</v>
      </c>
      <c r="C7" s="5">
        <v>1.68</v>
      </c>
      <c r="D7" s="4">
        <v>1.03</v>
      </c>
      <c r="E7" s="4">
        <v>241.31</v>
      </c>
      <c r="F7" s="6">
        <v>244.03</v>
      </c>
      <c r="G7" s="5">
        <v>2.3199999999999998</v>
      </c>
      <c r="H7" s="4">
        <v>10.01</v>
      </c>
      <c r="I7" s="4">
        <v>960.3</v>
      </c>
      <c r="J7" s="6">
        <v>972.64</v>
      </c>
      <c r="K7" s="5">
        <v>0.03</v>
      </c>
      <c r="L7" s="4">
        <v>15.16</v>
      </c>
      <c r="M7" s="4">
        <v>701.6</v>
      </c>
      <c r="N7" s="6">
        <v>716.79</v>
      </c>
    </row>
    <row r="8" spans="2:14" ht="15.6" x14ac:dyDescent="0.3">
      <c r="B8" s="19">
        <v>5</v>
      </c>
      <c r="C8" s="5">
        <v>1.63</v>
      </c>
      <c r="D8" s="4">
        <v>1.03</v>
      </c>
      <c r="E8" s="4">
        <v>298.08999999999997</v>
      </c>
      <c r="F8" s="6">
        <v>300.74</v>
      </c>
      <c r="G8" s="5">
        <v>2.6</v>
      </c>
      <c r="H8" s="4">
        <v>10.01</v>
      </c>
      <c r="I8" s="4">
        <v>881.25</v>
      </c>
      <c r="J8" s="6">
        <v>893.85</v>
      </c>
      <c r="K8" s="5">
        <v>0.03</v>
      </c>
      <c r="L8" s="4">
        <v>14.4</v>
      </c>
      <c r="M8" s="4">
        <v>722.7</v>
      </c>
      <c r="N8" s="6">
        <v>737.12</v>
      </c>
    </row>
    <row r="9" spans="2:14" ht="15.6" x14ac:dyDescent="0.3">
      <c r="B9" s="19">
        <v>6</v>
      </c>
      <c r="C9" s="5">
        <v>1.55</v>
      </c>
      <c r="D9" s="4">
        <v>1.02</v>
      </c>
      <c r="E9" s="4">
        <v>333.6</v>
      </c>
      <c r="F9" s="6">
        <v>336.17</v>
      </c>
      <c r="G9" s="5">
        <v>2.3199999999999998</v>
      </c>
      <c r="H9" s="4">
        <v>9.9700000000000006</v>
      </c>
      <c r="I9" s="4">
        <v>891.13</v>
      </c>
      <c r="J9" s="6">
        <v>903.42</v>
      </c>
      <c r="K9" s="5">
        <v>0.02</v>
      </c>
      <c r="L9" s="4">
        <v>20.8</v>
      </c>
      <c r="M9" s="4">
        <v>729.37</v>
      </c>
      <c r="N9" s="6">
        <v>750.2</v>
      </c>
    </row>
    <row r="10" spans="2:14" ht="15.6" x14ac:dyDescent="0.3">
      <c r="B10" s="19">
        <v>7</v>
      </c>
      <c r="C10" s="5">
        <v>2.96</v>
      </c>
      <c r="D10" s="4">
        <v>1.56</v>
      </c>
      <c r="E10" s="4">
        <v>324.39999999999998</v>
      </c>
      <c r="F10" s="6">
        <v>328.93</v>
      </c>
      <c r="G10" s="5">
        <v>2.4500000000000002</v>
      </c>
      <c r="H10" s="4">
        <v>10.6</v>
      </c>
      <c r="I10" s="4">
        <v>896.23</v>
      </c>
      <c r="J10" s="6">
        <v>882.27</v>
      </c>
      <c r="K10" s="5">
        <v>0.02</v>
      </c>
      <c r="L10" s="4">
        <v>25.2</v>
      </c>
      <c r="M10" s="4">
        <v>624.05999999999995</v>
      </c>
      <c r="N10" s="6">
        <v>649.28</v>
      </c>
    </row>
    <row r="11" spans="2:14" ht="15.6" x14ac:dyDescent="0.3">
      <c r="B11" s="19">
        <v>8</v>
      </c>
      <c r="C11" s="5">
        <v>4.08</v>
      </c>
      <c r="D11" s="4">
        <v>2.67</v>
      </c>
      <c r="E11" s="4">
        <v>340.44</v>
      </c>
      <c r="F11" s="6">
        <v>347.19</v>
      </c>
      <c r="G11" s="5">
        <v>2.41</v>
      </c>
      <c r="H11" s="4">
        <v>10.199999999999999</v>
      </c>
      <c r="I11" s="4">
        <v>1277.28</v>
      </c>
      <c r="J11" s="6">
        <v>1289.8900000000001</v>
      </c>
      <c r="K11" s="5">
        <v>0.03</v>
      </c>
      <c r="L11" s="4">
        <v>18.309999999999999</v>
      </c>
      <c r="M11" s="4">
        <v>609.08000000000004</v>
      </c>
      <c r="N11" s="6">
        <v>627.41</v>
      </c>
    </row>
    <row r="12" spans="2:14" ht="15.6" x14ac:dyDescent="0.3">
      <c r="B12" s="19">
        <v>9</v>
      </c>
      <c r="C12" s="5">
        <v>1.58</v>
      </c>
      <c r="D12" s="4">
        <v>1.04</v>
      </c>
      <c r="E12" s="4">
        <v>284.32</v>
      </c>
      <c r="F12" s="6">
        <v>286.94</v>
      </c>
      <c r="G12" s="5">
        <v>2.68</v>
      </c>
      <c r="H12" s="4">
        <v>10.38</v>
      </c>
      <c r="I12" s="4">
        <v>1508.03</v>
      </c>
      <c r="J12" s="6">
        <v>1521.07</v>
      </c>
      <c r="K12" s="5">
        <v>0.08</v>
      </c>
      <c r="L12" s="4">
        <v>28.06</v>
      </c>
      <c r="M12" s="4">
        <v>733.62</v>
      </c>
      <c r="N12" s="6">
        <v>761.75</v>
      </c>
    </row>
    <row r="13" spans="2:14" ht="15.6" x14ac:dyDescent="0.3">
      <c r="B13" s="19">
        <v>10</v>
      </c>
      <c r="C13" s="5">
        <v>1.76</v>
      </c>
      <c r="D13" s="4">
        <v>1.1499999999999999</v>
      </c>
      <c r="E13" s="4">
        <v>261.76</v>
      </c>
      <c r="F13" s="6">
        <v>264.68</v>
      </c>
      <c r="G13" s="5">
        <v>2.48</v>
      </c>
      <c r="H13" s="4">
        <v>10.55</v>
      </c>
      <c r="I13" s="4">
        <v>1368.1</v>
      </c>
      <c r="J13" s="6">
        <v>1381.13</v>
      </c>
      <c r="K13" s="5">
        <v>0.03</v>
      </c>
      <c r="L13" s="4">
        <v>20.96</v>
      </c>
      <c r="M13" s="4">
        <v>675.49</v>
      </c>
      <c r="N13" s="6">
        <v>696.49</v>
      </c>
    </row>
    <row r="14" spans="2:14" ht="15.6" x14ac:dyDescent="0.3">
      <c r="B14" s="19">
        <v>11</v>
      </c>
      <c r="C14" s="5">
        <v>3.62</v>
      </c>
      <c r="D14" s="4">
        <v>1.91</v>
      </c>
      <c r="E14" s="4">
        <v>344.46</v>
      </c>
      <c r="F14" s="6">
        <v>350</v>
      </c>
      <c r="G14" s="5">
        <v>2.44</v>
      </c>
      <c r="H14" s="4">
        <v>10.59</v>
      </c>
      <c r="I14" s="4">
        <v>974.29</v>
      </c>
      <c r="J14" s="6">
        <v>987.31</v>
      </c>
      <c r="K14" s="5">
        <v>0.03</v>
      </c>
      <c r="L14" s="4">
        <v>22.13</v>
      </c>
      <c r="M14" s="4">
        <v>650.25</v>
      </c>
      <c r="N14" s="6">
        <v>672.4</v>
      </c>
    </row>
    <row r="15" spans="2:14" ht="15.6" x14ac:dyDescent="0.3">
      <c r="B15" s="19">
        <v>12</v>
      </c>
      <c r="C15" s="5">
        <v>2.73</v>
      </c>
      <c r="D15" s="4">
        <v>1.78</v>
      </c>
      <c r="E15" s="4">
        <v>336.8</v>
      </c>
      <c r="F15" s="6">
        <v>341.31</v>
      </c>
      <c r="G15" s="5">
        <v>2.42</v>
      </c>
      <c r="H15" s="4">
        <v>10.210000000000001</v>
      </c>
      <c r="I15" s="4">
        <v>1081.82</v>
      </c>
      <c r="J15" s="6">
        <v>1094.45</v>
      </c>
      <c r="K15" s="5">
        <v>0.02</v>
      </c>
      <c r="L15" s="4">
        <v>15.57</v>
      </c>
      <c r="M15" s="4">
        <v>665.84</v>
      </c>
      <c r="N15" s="6">
        <v>681.43</v>
      </c>
    </row>
    <row r="16" spans="2:14" ht="15.6" x14ac:dyDescent="0.3">
      <c r="B16" s="19">
        <v>13</v>
      </c>
      <c r="C16" s="5">
        <v>2.65</v>
      </c>
      <c r="D16" s="4">
        <v>1.0900000000000001</v>
      </c>
      <c r="E16" s="4">
        <v>293.51</v>
      </c>
      <c r="F16" s="6">
        <v>297.26</v>
      </c>
      <c r="G16" s="5">
        <v>2.48</v>
      </c>
      <c r="H16" s="4">
        <v>10.210000000000001</v>
      </c>
      <c r="I16" s="4">
        <v>1999.44</v>
      </c>
      <c r="J16" s="6">
        <v>2012.13</v>
      </c>
      <c r="K16" s="5">
        <v>0.03</v>
      </c>
      <c r="L16" s="4">
        <v>19.54</v>
      </c>
      <c r="M16" s="4">
        <v>693.43</v>
      </c>
      <c r="N16" s="6">
        <v>712.99</v>
      </c>
    </row>
    <row r="17" spans="2:14" ht="15.6" x14ac:dyDescent="0.3">
      <c r="B17" s="19">
        <v>14</v>
      </c>
      <c r="C17" s="5">
        <v>1.75</v>
      </c>
      <c r="D17" s="4">
        <v>1.08</v>
      </c>
      <c r="E17" s="4">
        <v>322.42</v>
      </c>
      <c r="F17" s="6">
        <v>325.25</v>
      </c>
      <c r="G17" s="5">
        <v>2.2999999999999998</v>
      </c>
      <c r="H17" s="4">
        <v>9.83</v>
      </c>
      <c r="I17" s="4">
        <v>2426.61</v>
      </c>
      <c r="J17" s="6">
        <v>2438.7399999999998</v>
      </c>
      <c r="K17" s="5">
        <v>0.05</v>
      </c>
      <c r="L17" s="4">
        <v>27.99</v>
      </c>
      <c r="M17" s="4">
        <v>533.36</v>
      </c>
      <c r="N17" s="6">
        <v>561.39</v>
      </c>
    </row>
    <row r="18" spans="2:14" ht="15.6" x14ac:dyDescent="0.3">
      <c r="B18" s="19">
        <v>15</v>
      </c>
      <c r="C18" s="5">
        <v>3.09</v>
      </c>
      <c r="D18" s="4">
        <v>2.2400000000000002</v>
      </c>
      <c r="E18" s="4">
        <v>316.52</v>
      </c>
      <c r="F18" s="6">
        <v>321.85000000000002</v>
      </c>
      <c r="G18" s="5">
        <v>2.67</v>
      </c>
      <c r="H18" s="4">
        <v>9.98</v>
      </c>
      <c r="I18" s="4">
        <v>1732.2</v>
      </c>
      <c r="J18" s="6">
        <v>1744.85</v>
      </c>
      <c r="K18" s="5">
        <v>0.02</v>
      </c>
      <c r="L18" s="4">
        <v>14.36</v>
      </c>
      <c r="M18" s="4">
        <v>754.39</v>
      </c>
      <c r="N18" s="6">
        <v>768.78</v>
      </c>
    </row>
    <row r="19" spans="2:14" ht="15.6" x14ac:dyDescent="0.3">
      <c r="B19" s="19">
        <v>16</v>
      </c>
      <c r="C19" s="5">
        <v>3.38</v>
      </c>
      <c r="D19" s="4">
        <v>2.61</v>
      </c>
      <c r="E19" s="4">
        <v>360.72</v>
      </c>
      <c r="F19" s="6">
        <v>366.71</v>
      </c>
      <c r="G19" s="5">
        <v>2.31</v>
      </c>
      <c r="H19" s="4">
        <v>9.77</v>
      </c>
      <c r="I19" s="4">
        <v>2529.4899999999998</v>
      </c>
      <c r="J19" s="6">
        <v>2541.5700000000002</v>
      </c>
      <c r="K19" s="5">
        <v>7.0000000000000007E-2</v>
      </c>
      <c r="L19" s="4">
        <v>30.03</v>
      </c>
      <c r="M19" s="4">
        <v>702.13</v>
      </c>
      <c r="N19" s="6">
        <v>732.23</v>
      </c>
    </row>
    <row r="20" spans="2:14" ht="15.6" x14ac:dyDescent="0.3">
      <c r="B20" s="19">
        <v>17</v>
      </c>
      <c r="C20" s="5">
        <v>3.18</v>
      </c>
      <c r="D20" s="4">
        <v>1.99</v>
      </c>
      <c r="E20" s="4">
        <v>292.25</v>
      </c>
      <c r="F20" s="6">
        <v>297.43</v>
      </c>
      <c r="G20" s="5">
        <v>3.17</v>
      </c>
      <c r="H20" s="4">
        <v>11.5</v>
      </c>
      <c r="I20" s="4">
        <v>2134.27</v>
      </c>
      <c r="J20" s="6">
        <v>2148.9499999999998</v>
      </c>
      <c r="K20" s="5">
        <v>0.02</v>
      </c>
      <c r="L20" s="4">
        <v>14.65</v>
      </c>
      <c r="M20" s="4">
        <v>548.52</v>
      </c>
      <c r="N20" s="6">
        <v>563.19000000000005</v>
      </c>
    </row>
    <row r="21" spans="2:14" ht="15.6" x14ac:dyDescent="0.3">
      <c r="B21" s="19">
        <v>18</v>
      </c>
      <c r="C21" s="5">
        <v>1.69</v>
      </c>
      <c r="D21" s="4">
        <v>1.08</v>
      </c>
      <c r="E21" s="4">
        <v>278.54000000000002</v>
      </c>
      <c r="F21" s="6">
        <v>281.31</v>
      </c>
      <c r="G21" s="5">
        <v>2.35</v>
      </c>
      <c r="H21" s="4">
        <v>10.44</v>
      </c>
      <c r="I21" s="4">
        <v>1662.34</v>
      </c>
      <c r="J21" s="6">
        <v>1675.13</v>
      </c>
      <c r="K21" s="5">
        <v>0.03</v>
      </c>
      <c r="L21" s="4">
        <v>17.77</v>
      </c>
      <c r="M21" s="4">
        <v>656.47</v>
      </c>
      <c r="N21" s="6">
        <v>674.26</v>
      </c>
    </row>
    <row r="22" spans="2:14" ht="15.6" x14ac:dyDescent="0.3">
      <c r="B22" s="19">
        <v>19</v>
      </c>
      <c r="C22" s="5">
        <v>1.66</v>
      </c>
      <c r="D22" s="4">
        <v>1.05</v>
      </c>
      <c r="E22" s="4">
        <v>291.52</v>
      </c>
      <c r="F22" s="6">
        <v>294.24</v>
      </c>
      <c r="G22" s="5">
        <v>2.78</v>
      </c>
      <c r="H22" s="4">
        <v>11.14</v>
      </c>
      <c r="I22" s="4">
        <v>950.25</v>
      </c>
      <c r="J22" s="6">
        <v>964.18</v>
      </c>
      <c r="K22" s="5">
        <v>0.02</v>
      </c>
      <c r="L22" s="4">
        <v>14.61</v>
      </c>
      <c r="M22" s="4">
        <v>709.99</v>
      </c>
      <c r="N22" s="6">
        <v>724.62</v>
      </c>
    </row>
    <row r="23" spans="2:14" ht="15.6" x14ac:dyDescent="0.3">
      <c r="B23" s="19">
        <v>20</v>
      </c>
      <c r="C23" s="5">
        <v>1.79</v>
      </c>
      <c r="D23" s="4">
        <v>1.08</v>
      </c>
      <c r="E23" s="4">
        <v>350.14</v>
      </c>
      <c r="F23" s="6">
        <v>353.02</v>
      </c>
      <c r="G23" s="5">
        <v>2.48</v>
      </c>
      <c r="H23" s="4">
        <v>9.9499999999999993</v>
      </c>
      <c r="I23" s="4">
        <v>868.73</v>
      </c>
      <c r="J23" s="6">
        <v>881.16</v>
      </c>
      <c r="K23" s="5">
        <v>0.03</v>
      </c>
      <c r="L23" s="4">
        <v>15.3</v>
      </c>
      <c r="M23" s="4">
        <v>611.12</v>
      </c>
      <c r="N23" s="6">
        <v>626.44000000000005</v>
      </c>
    </row>
    <row r="24" spans="2:14" ht="15.6" x14ac:dyDescent="0.3">
      <c r="B24" s="19">
        <v>21</v>
      </c>
      <c r="C24" s="5">
        <v>1.83</v>
      </c>
      <c r="D24" s="4">
        <v>1.1100000000000001</v>
      </c>
      <c r="E24" s="4">
        <v>322.86</v>
      </c>
      <c r="F24" s="6">
        <v>325.8</v>
      </c>
      <c r="G24" s="5">
        <v>2.31</v>
      </c>
      <c r="H24" s="4">
        <v>10.47</v>
      </c>
      <c r="I24" s="4">
        <v>1600.05</v>
      </c>
      <c r="J24" s="6">
        <v>1612.82</v>
      </c>
      <c r="K24" s="5">
        <v>0.02</v>
      </c>
      <c r="L24" s="4">
        <v>25.05</v>
      </c>
      <c r="M24" s="4">
        <v>656.25</v>
      </c>
      <c r="N24" s="6">
        <v>681.32</v>
      </c>
    </row>
    <row r="25" spans="2:14" ht="15.6" x14ac:dyDescent="0.3">
      <c r="B25" s="19">
        <v>22</v>
      </c>
      <c r="C25" s="5">
        <v>2.81</v>
      </c>
      <c r="D25" s="4">
        <v>1.81</v>
      </c>
      <c r="E25" s="4">
        <v>296.81</v>
      </c>
      <c r="F25" s="6">
        <v>301.42</v>
      </c>
      <c r="G25" s="5">
        <v>2.33</v>
      </c>
      <c r="H25" s="4">
        <v>10.51</v>
      </c>
      <c r="I25" s="4">
        <v>970.11</v>
      </c>
      <c r="J25" s="6">
        <v>982.95</v>
      </c>
      <c r="K25" s="5">
        <v>0.03</v>
      </c>
      <c r="L25" s="4">
        <v>14.36</v>
      </c>
      <c r="M25" s="4">
        <v>684.49</v>
      </c>
      <c r="N25" s="6">
        <v>698.88</v>
      </c>
    </row>
    <row r="26" spans="2:14" ht="15.6" x14ac:dyDescent="0.3">
      <c r="B26" s="19">
        <v>23</v>
      </c>
      <c r="C26" s="5">
        <v>1.6</v>
      </c>
      <c r="D26" s="4">
        <v>1.33</v>
      </c>
      <c r="E26" s="4">
        <v>298.89</v>
      </c>
      <c r="F26" s="6">
        <v>301.82</v>
      </c>
      <c r="G26" s="5">
        <v>3</v>
      </c>
      <c r="H26" s="4">
        <v>10.48</v>
      </c>
      <c r="I26" s="4">
        <v>958.67</v>
      </c>
      <c r="J26" s="6">
        <v>972.15</v>
      </c>
      <c r="K26" s="5">
        <v>0.03</v>
      </c>
      <c r="L26" s="4">
        <v>21.87</v>
      </c>
      <c r="M26" s="4">
        <v>729.91</v>
      </c>
      <c r="N26" s="6">
        <v>751.81</v>
      </c>
    </row>
    <row r="27" spans="2:14" ht="15.6" x14ac:dyDescent="0.3">
      <c r="B27" s="19">
        <v>24</v>
      </c>
      <c r="C27" s="5">
        <v>2.13</v>
      </c>
      <c r="D27" s="4">
        <v>1.4</v>
      </c>
      <c r="E27" s="4">
        <v>278.14999999999998</v>
      </c>
      <c r="F27" s="6">
        <v>281.69</v>
      </c>
      <c r="G27" s="5">
        <v>3.3</v>
      </c>
      <c r="H27" s="4">
        <v>10.050000000000001</v>
      </c>
      <c r="I27" s="4">
        <v>1496.73</v>
      </c>
      <c r="J27" s="6">
        <v>1510.09</v>
      </c>
      <c r="K27" s="5">
        <v>0.03</v>
      </c>
      <c r="L27" s="4">
        <v>24.86</v>
      </c>
      <c r="M27" s="4">
        <v>678.19</v>
      </c>
      <c r="N27" s="6">
        <v>703.08</v>
      </c>
    </row>
    <row r="28" spans="2:14" ht="15.6" x14ac:dyDescent="0.3">
      <c r="B28" s="19">
        <v>25</v>
      </c>
      <c r="C28" s="5">
        <v>1.69</v>
      </c>
      <c r="D28" s="4">
        <v>1.03</v>
      </c>
      <c r="E28" s="4">
        <v>299.41000000000003</v>
      </c>
      <c r="F28" s="6">
        <v>302.13</v>
      </c>
      <c r="G28" s="5">
        <v>2.34</v>
      </c>
      <c r="H28" s="4">
        <v>10.029999999999999</v>
      </c>
      <c r="I28" s="4">
        <v>1241.2</v>
      </c>
      <c r="J28" s="6">
        <v>1253.57</v>
      </c>
      <c r="K28" s="5">
        <v>7.0000000000000007E-2</v>
      </c>
      <c r="L28" s="4">
        <v>19.260000000000002</v>
      </c>
      <c r="M28" s="4">
        <v>618.53</v>
      </c>
      <c r="N28" s="6">
        <v>637.86</v>
      </c>
    </row>
    <row r="29" spans="2:14" ht="15.6" x14ac:dyDescent="0.3">
      <c r="B29" s="19">
        <v>26</v>
      </c>
      <c r="C29" s="5">
        <v>1.74</v>
      </c>
      <c r="D29" s="4">
        <v>1.04</v>
      </c>
      <c r="E29" s="4">
        <v>331.07</v>
      </c>
      <c r="F29" s="6">
        <v>333.84</v>
      </c>
      <c r="G29" s="5">
        <v>2.4</v>
      </c>
      <c r="H29" s="4">
        <v>10.56</v>
      </c>
      <c r="I29" s="4">
        <v>926.88</v>
      </c>
      <c r="J29" s="6">
        <v>939.84</v>
      </c>
      <c r="K29" s="5">
        <v>0.03</v>
      </c>
      <c r="L29" s="4">
        <v>20.27</v>
      </c>
      <c r="M29" s="4">
        <v>696.86</v>
      </c>
      <c r="N29" s="6">
        <v>717.16</v>
      </c>
    </row>
    <row r="30" spans="2:14" ht="15.6" x14ac:dyDescent="0.3">
      <c r="B30" s="19">
        <v>27</v>
      </c>
      <c r="C30" s="5">
        <v>1.58</v>
      </c>
      <c r="D30" s="4">
        <v>1.07</v>
      </c>
      <c r="E30" s="4">
        <v>324.33</v>
      </c>
      <c r="F30" s="6">
        <v>326.98</v>
      </c>
      <c r="G30" s="5">
        <v>2.56</v>
      </c>
      <c r="H30" s="4">
        <v>10.16</v>
      </c>
      <c r="I30" s="4">
        <v>1184.71</v>
      </c>
      <c r="J30" s="6">
        <v>1197.42</v>
      </c>
      <c r="K30" s="5">
        <v>0.03</v>
      </c>
      <c r="L30" s="4">
        <v>15.28</v>
      </c>
      <c r="M30" s="4">
        <v>605.23</v>
      </c>
      <c r="N30" s="6">
        <v>620.54</v>
      </c>
    </row>
    <row r="31" spans="2:14" ht="15.6" x14ac:dyDescent="0.3">
      <c r="B31" s="19">
        <v>28</v>
      </c>
      <c r="C31" s="5">
        <v>2.56</v>
      </c>
      <c r="D31" s="4">
        <v>1.41</v>
      </c>
      <c r="E31" s="4">
        <v>294.79000000000002</v>
      </c>
      <c r="F31" s="6">
        <v>298.75</v>
      </c>
      <c r="G31" s="5">
        <v>2.59</v>
      </c>
      <c r="H31" s="4">
        <v>18.79</v>
      </c>
      <c r="I31" s="4">
        <v>1789.11</v>
      </c>
      <c r="J31" s="6">
        <v>1810.49</v>
      </c>
      <c r="K31" s="5">
        <v>0.02</v>
      </c>
      <c r="L31" s="4">
        <v>14.43</v>
      </c>
      <c r="M31" s="4">
        <v>735.23</v>
      </c>
      <c r="N31" s="6">
        <v>749.68</v>
      </c>
    </row>
    <row r="32" spans="2:14" ht="15.6" x14ac:dyDescent="0.3">
      <c r="B32" s="19">
        <v>29</v>
      </c>
      <c r="C32" s="5">
        <v>2.84</v>
      </c>
      <c r="D32" s="4">
        <v>1.79</v>
      </c>
      <c r="E32" s="4">
        <v>320.85000000000002</v>
      </c>
      <c r="F32" s="6">
        <v>325.49</v>
      </c>
      <c r="G32" s="5">
        <v>2.4</v>
      </c>
      <c r="H32" s="4">
        <v>10.45</v>
      </c>
      <c r="I32" s="4">
        <v>1475.25</v>
      </c>
      <c r="J32" s="6">
        <v>1488.09</v>
      </c>
      <c r="K32" s="5">
        <v>0.02</v>
      </c>
      <c r="L32" s="4">
        <v>23.18</v>
      </c>
      <c r="M32" s="4">
        <v>701.86</v>
      </c>
      <c r="N32" s="6">
        <v>725.06</v>
      </c>
    </row>
    <row r="33" spans="2:14" ht="16.2" thickBot="1" x14ac:dyDescent="0.35">
      <c r="B33" s="19">
        <v>30</v>
      </c>
      <c r="C33" s="7">
        <v>1.71</v>
      </c>
      <c r="D33" s="8">
        <v>1.1000000000000001</v>
      </c>
      <c r="E33" s="8">
        <v>321.54000000000002</v>
      </c>
      <c r="F33" s="9">
        <v>324.33999999999997</v>
      </c>
      <c r="G33" s="7">
        <v>2.27</v>
      </c>
      <c r="H33" s="8">
        <v>11.06</v>
      </c>
      <c r="I33" s="8">
        <v>851.35</v>
      </c>
      <c r="J33" s="9">
        <v>864.68</v>
      </c>
      <c r="K33" s="7">
        <v>0.02</v>
      </c>
      <c r="L33" s="8">
        <v>23.72</v>
      </c>
      <c r="M33" s="8">
        <v>689.31</v>
      </c>
      <c r="N33" s="9">
        <v>713.06</v>
      </c>
    </row>
    <row r="34" spans="2:14" ht="15" thickBot="1" x14ac:dyDescent="0.35"/>
    <row r="35" spans="2:14" ht="15" thickBot="1" x14ac:dyDescent="0.35">
      <c r="B35" s="13"/>
      <c r="C35" s="29" t="s">
        <v>0</v>
      </c>
      <c r="D35" s="30" t="s">
        <v>1</v>
      </c>
      <c r="E35" s="30" t="s">
        <v>2</v>
      </c>
      <c r="F35" s="31" t="s">
        <v>3</v>
      </c>
      <c r="G35" s="32" t="s">
        <v>4</v>
      </c>
      <c r="H35" s="33" t="s">
        <v>5</v>
      </c>
      <c r="I35" s="33" t="s">
        <v>6</v>
      </c>
      <c r="J35" s="34" t="s">
        <v>7</v>
      </c>
      <c r="K35" s="35" t="s">
        <v>8</v>
      </c>
      <c r="L35" s="36" t="s">
        <v>9</v>
      </c>
      <c r="M35" s="36" t="s">
        <v>10</v>
      </c>
      <c r="N35" s="37" t="s">
        <v>11</v>
      </c>
    </row>
    <row r="36" spans="2:14" x14ac:dyDescent="0.3">
      <c r="B36" s="10" t="s">
        <v>15</v>
      </c>
      <c r="C36" s="20">
        <f t="shared" ref="C36:I36" si="0">AVERAGE(C4:C33)</f>
        <v>2.3209999999999997</v>
      </c>
      <c r="D36" s="21">
        <f t="shared" si="0"/>
        <v>1.4693333333333334</v>
      </c>
      <c r="E36" s="21">
        <f t="shared" si="0"/>
        <v>311.37300000000016</v>
      </c>
      <c r="F36" s="22">
        <f t="shared" si="0"/>
        <v>315.16566666666671</v>
      </c>
      <c r="G36" s="20">
        <f t="shared" si="0"/>
        <v>2.569666666666667</v>
      </c>
      <c r="H36" s="21">
        <f t="shared" si="0"/>
        <v>10.621666666666666</v>
      </c>
      <c r="I36" s="21">
        <f t="shared" si="0"/>
        <v>1340.5316666666665</v>
      </c>
      <c r="J36" s="22">
        <f t="shared" ref="J36:N36" si="1">AVERAGE(J4:J33)</f>
        <v>1352.7216666666661</v>
      </c>
      <c r="K36" s="20">
        <f t="shared" si="1"/>
        <v>3.3000000000000015E-2</v>
      </c>
      <c r="L36" s="21">
        <f t="shared" si="1"/>
        <v>19.55233333333333</v>
      </c>
      <c r="M36" s="21">
        <f t="shared" si="1"/>
        <v>673.24633333333327</v>
      </c>
      <c r="N36" s="22">
        <f t="shared" si="1"/>
        <v>692.83066666666684</v>
      </c>
    </row>
    <row r="37" spans="2:14" x14ac:dyDescent="0.3">
      <c r="B37" s="11" t="s">
        <v>16</v>
      </c>
      <c r="C37" s="23">
        <f>MEDIAN(C4:C33)</f>
        <v>1.98</v>
      </c>
      <c r="D37" s="24">
        <f>MEDIAN(D4:D33)</f>
        <v>1.24</v>
      </c>
      <c r="E37" s="24">
        <f t="shared" ref="E37:N37" si="2">MEDIAN(E4:E33)</f>
        <v>318.685</v>
      </c>
      <c r="F37" s="25">
        <f t="shared" si="2"/>
        <v>323.09500000000003</v>
      </c>
      <c r="G37" s="23">
        <f t="shared" si="2"/>
        <v>2.4450000000000003</v>
      </c>
      <c r="H37" s="24">
        <f t="shared" si="2"/>
        <v>10.295000000000002</v>
      </c>
      <c r="I37" s="24">
        <f t="shared" si="2"/>
        <v>1248.68</v>
      </c>
      <c r="J37" s="25">
        <f t="shared" si="2"/>
        <v>1261.5650000000001</v>
      </c>
      <c r="K37" s="23">
        <f t="shared" si="2"/>
        <v>0.03</v>
      </c>
      <c r="L37" s="24">
        <f t="shared" si="2"/>
        <v>19.399999999999999</v>
      </c>
      <c r="M37" s="24">
        <f t="shared" si="2"/>
        <v>681.34</v>
      </c>
      <c r="N37" s="25">
        <f t="shared" si="2"/>
        <v>700.98</v>
      </c>
    </row>
    <row r="38" spans="2:14" x14ac:dyDescent="0.3">
      <c r="B38" s="11" t="s">
        <v>17</v>
      </c>
      <c r="C38" s="23">
        <f>MIN(C4:C33)</f>
        <v>1.55</v>
      </c>
      <c r="D38" s="24">
        <f>MIN(D4:D33)</f>
        <v>1.02</v>
      </c>
      <c r="E38" s="24">
        <f t="shared" ref="E38:N38" si="3">MIN(E4:E33)</f>
        <v>241.31</v>
      </c>
      <c r="F38" s="25">
        <f t="shared" si="3"/>
        <v>244.03</v>
      </c>
      <c r="G38" s="23">
        <f>MIN(G4:G33)</f>
        <v>2.27</v>
      </c>
      <c r="H38" s="24">
        <f t="shared" si="3"/>
        <v>9.77</v>
      </c>
      <c r="I38" s="24">
        <f t="shared" si="3"/>
        <v>851.35</v>
      </c>
      <c r="J38" s="25">
        <f t="shared" si="3"/>
        <v>864.68</v>
      </c>
      <c r="K38" s="23">
        <f t="shared" si="3"/>
        <v>0.02</v>
      </c>
      <c r="L38" s="24">
        <f t="shared" si="3"/>
        <v>14.26</v>
      </c>
      <c r="M38" s="24">
        <f t="shared" si="3"/>
        <v>533.36</v>
      </c>
      <c r="N38" s="25">
        <f t="shared" si="3"/>
        <v>561.39</v>
      </c>
    </row>
    <row r="39" spans="2:14" ht="15" thickBot="1" x14ac:dyDescent="0.35">
      <c r="B39" s="12" t="s">
        <v>18</v>
      </c>
      <c r="C39" s="26">
        <f>MAX(C4:C33)</f>
        <v>4.08</v>
      </c>
      <c r="D39" s="27">
        <f>MAX(D4:D33)</f>
        <v>2.67</v>
      </c>
      <c r="E39" s="27">
        <f t="shared" ref="E39:N39" si="4">MAX(E4:E33)</f>
        <v>360.72</v>
      </c>
      <c r="F39" s="28">
        <f t="shared" si="4"/>
        <v>366.71</v>
      </c>
      <c r="G39" s="26">
        <f t="shared" si="4"/>
        <v>3.3</v>
      </c>
      <c r="H39" s="27">
        <f t="shared" si="4"/>
        <v>18.79</v>
      </c>
      <c r="I39" s="27">
        <f t="shared" si="4"/>
        <v>2529.4899999999998</v>
      </c>
      <c r="J39" s="28">
        <f t="shared" si="4"/>
        <v>2541.5700000000002</v>
      </c>
      <c r="K39" s="26">
        <f t="shared" si="4"/>
        <v>0.08</v>
      </c>
      <c r="L39" s="27">
        <f t="shared" si="4"/>
        <v>30.03</v>
      </c>
      <c r="M39" s="27">
        <f t="shared" si="4"/>
        <v>782.17</v>
      </c>
      <c r="N39" s="28">
        <f t="shared" si="4"/>
        <v>802.34</v>
      </c>
    </row>
  </sheetData>
  <mergeCells count="3">
    <mergeCell ref="C2:F2"/>
    <mergeCell ref="G2:J2"/>
    <mergeCell ref="K2:N2"/>
  </mergeCells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5739-9223-4B9D-ABAB-F308E2F9B3D3}">
  <dimension ref="B2:N40"/>
  <sheetViews>
    <sheetView zoomScale="75" workbookViewId="0">
      <selection activeCell="N37" sqref="N37:N40"/>
    </sheetView>
  </sheetViews>
  <sheetFormatPr defaultRowHeight="14.4" x14ac:dyDescent="0.3"/>
  <cols>
    <col min="3" max="3" width="11.44140625" bestFit="1" customWidth="1"/>
    <col min="4" max="4" width="19.21875" bestFit="1" customWidth="1"/>
    <col min="5" max="5" width="14.77734375" bestFit="1" customWidth="1"/>
    <col min="6" max="6" width="20" bestFit="1" customWidth="1"/>
    <col min="7" max="7" width="23.21875" bestFit="1" customWidth="1"/>
    <col min="8" max="8" width="16.33203125" bestFit="1" customWidth="1"/>
    <col min="9" max="9" width="18.77734375" bestFit="1" customWidth="1"/>
    <col min="10" max="10" width="18.33203125" bestFit="1" customWidth="1"/>
    <col min="11" max="11" width="22.33203125" bestFit="1" customWidth="1"/>
    <col min="12" max="12" width="20.5546875" bestFit="1" customWidth="1"/>
    <col min="13" max="13" width="19.33203125" bestFit="1" customWidth="1"/>
    <col min="14" max="14" width="20.5546875" bestFit="1" customWidth="1"/>
  </cols>
  <sheetData>
    <row r="2" spans="2:14" ht="15" thickBot="1" x14ac:dyDescent="0.35"/>
    <row r="3" spans="2:14" ht="24" thickBot="1" x14ac:dyDescent="0.5">
      <c r="C3" s="38" t="s">
        <v>12</v>
      </c>
      <c r="D3" s="39"/>
      <c r="E3" s="39"/>
      <c r="F3" s="40"/>
      <c r="G3" s="41" t="s">
        <v>13</v>
      </c>
      <c r="H3" s="42"/>
      <c r="I3" s="42"/>
      <c r="J3" s="43"/>
      <c r="K3" s="44" t="s">
        <v>14</v>
      </c>
      <c r="L3" s="45"/>
      <c r="M3" s="45"/>
      <c r="N3" s="46"/>
    </row>
    <row r="4" spans="2:14" x14ac:dyDescent="0.3">
      <c r="C4" s="1" t="s">
        <v>0</v>
      </c>
      <c r="D4" s="2" t="s">
        <v>1</v>
      </c>
      <c r="E4" s="2" t="s">
        <v>2</v>
      </c>
      <c r="F4" s="3" t="s">
        <v>3</v>
      </c>
      <c r="G4" s="1" t="s">
        <v>4</v>
      </c>
      <c r="H4" s="2" t="s">
        <v>5</v>
      </c>
      <c r="I4" s="2" t="s">
        <v>6</v>
      </c>
      <c r="J4" s="3" t="s">
        <v>7</v>
      </c>
      <c r="K4" s="1" t="s">
        <v>8</v>
      </c>
      <c r="L4" s="2" t="s">
        <v>9</v>
      </c>
      <c r="M4" s="2" t="s">
        <v>10</v>
      </c>
      <c r="N4" s="3" t="s">
        <v>11</v>
      </c>
    </row>
    <row r="5" spans="2:14" ht="15.6" x14ac:dyDescent="0.3">
      <c r="B5">
        <v>1</v>
      </c>
      <c r="C5" s="5">
        <v>1.1399999999999999</v>
      </c>
      <c r="D5" s="4">
        <v>0.83</v>
      </c>
      <c r="E5" s="4">
        <v>185.16</v>
      </c>
      <c r="F5" s="6">
        <v>187.3</v>
      </c>
      <c r="G5" s="5">
        <v>2.02</v>
      </c>
      <c r="H5" s="4">
        <v>9.5</v>
      </c>
      <c r="I5" s="4">
        <v>1757.45</v>
      </c>
      <c r="J5" s="6">
        <v>1769.98</v>
      </c>
      <c r="K5" s="5">
        <v>0.02</v>
      </c>
      <c r="L5" s="4">
        <v>11.26</v>
      </c>
      <c r="M5" s="4">
        <v>412.92</v>
      </c>
      <c r="N5" s="6">
        <v>424.2</v>
      </c>
    </row>
    <row r="6" spans="2:14" ht="15.6" x14ac:dyDescent="0.3">
      <c r="B6">
        <v>2</v>
      </c>
      <c r="C6" s="5">
        <v>1.56</v>
      </c>
      <c r="D6" s="4">
        <v>0.82</v>
      </c>
      <c r="E6" s="4">
        <v>205.86</v>
      </c>
      <c r="F6" s="6">
        <v>208.24</v>
      </c>
      <c r="G6" s="5">
        <v>4.71</v>
      </c>
      <c r="H6" s="4">
        <v>12.9</v>
      </c>
      <c r="I6" s="4">
        <v>815.55</v>
      </c>
      <c r="J6" s="6">
        <v>833.16</v>
      </c>
      <c r="K6" s="5">
        <v>0.02</v>
      </c>
      <c r="L6" s="4">
        <v>11.31</v>
      </c>
      <c r="M6" s="4">
        <v>402.59</v>
      </c>
      <c r="N6" s="6">
        <v>413.92</v>
      </c>
    </row>
    <row r="7" spans="2:14" ht="15.6" x14ac:dyDescent="0.3">
      <c r="B7">
        <v>3</v>
      </c>
      <c r="C7" s="5">
        <v>1.3</v>
      </c>
      <c r="D7" s="4">
        <v>0.92</v>
      </c>
      <c r="E7" s="4">
        <v>200.74</v>
      </c>
      <c r="F7" s="6">
        <v>202.96</v>
      </c>
      <c r="G7" s="5">
        <v>6.95</v>
      </c>
      <c r="H7" s="4">
        <v>9.94</v>
      </c>
      <c r="I7" s="4">
        <v>687.88</v>
      </c>
      <c r="J7" s="6">
        <v>704.77</v>
      </c>
      <c r="K7" s="5">
        <v>0.02</v>
      </c>
      <c r="L7" s="4">
        <v>10.92</v>
      </c>
      <c r="M7" s="4">
        <v>415.1</v>
      </c>
      <c r="N7" s="6">
        <v>426.04</v>
      </c>
    </row>
    <row r="8" spans="2:14" ht="15.6" x14ac:dyDescent="0.3">
      <c r="B8">
        <v>4</v>
      </c>
      <c r="C8" s="5">
        <v>1.34</v>
      </c>
      <c r="D8" s="4">
        <v>0.87</v>
      </c>
      <c r="E8" s="4">
        <v>199.42</v>
      </c>
      <c r="F8" s="6">
        <v>201.64</v>
      </c>
      <c r="G8" s="5">
        <v>2.5</v>
      </c>
      <c r="H8" s="4">
        <v>14.27</v>
      </c>
      <c r="I8" s="4">
        <v>1940.87</v>
      </c>
      <c r="J8" s="6">
        <v>1957.63</v>
      </c>
      <c r="K8" s="5">
        <v>0.02</v>
      </c>
      <c r="L8" s="4">
        <v>11.08</v>
      </c>
      <c r="M8" s="4">
        <v>406.22</v>
      </c>
      <c r="N8" s="6">
        <v>417.32</v>
      </c>
    </row>
    <row r="9" spans="2:14" ht="15.6" x14ac:dyDescent="0.3">
      <c r="B9">
        <v>5</v>
      </c>
      <c r="C9" s="5">
        <v>1.2</v>
      </c>
      <c r="D9" s="4">
        <v>0.79</v>
      </c>
      <c r="E9" s="4">
        <v>211.87</v>
      </c>
      <c r="F9" s="6">
        <v>213.85</v>
      </c>
      <c r="G9" s="5">
        <v>2.11</v>
      </c>
      <c r="H9" s="4">
        <v>11.91</v>
      </c>
      <c r="I9" s="4">
        <v>675.06</v>
      </c>
      <c r="J9" s="6">
        <v>689.08</v>
      </c>
      <c r="K9" s="5">
        <v>0.02</v>
      </c>
      <c r="L9" s="4">
        <v>11.11</v>
      </c>
      <c r="M9" s="4">
        <v>419.94</v>
      </c>
      <c r="N9" s="6">
        <v>431.06</v>
      </c>
    </row>
    <row r="10" spans="2:14" ht="15.6" x14ac:dyDescent="0.3">
      <c r="B10">
        <v>6</v>
      </c>
      <c r="C10" s="5">
        <v>1.08</v>
      </c>
      <c r="D10" s="4">
        <v>0.8</v>
      </c>
      <c r="E10" s="4">
        <v>192.76</v>
      </c>
      <c r="F10" s="6">
        <v>194.65</v>
      </c>
      <c r="G10" s="5">
        <v>4.5999999999999996</v>
      </c>
      <c r="H10" s="4">
        <v>27.02</v>
      </c>
      <c r="I10" s="4">
        <v>1378.47</v>
      </c>
      <c r="J10" s="6">
        <v>1410.09</v>
      </c>
      <c r="K10" s="5">
        <v>0.02</v>
      </c>
      <c r="L10" s="4">
        <v>11.36</v>
      </c>
      <c r="M10" s="4">
        <v>435.84</v>
      </c>
      <c r="N10" s="6">
        <v>447.22</v>
      </c>
    </row>
    <row r="11" spans="2:14" ht="15.6" x14ac:dyDescent="0.3">
      <c r="B11">
        <v>7</v>
      </c>
      <c r="C11" s="5">
        <v>1.33</v>
      </c>
      <c r="D11" s="4">
        <v>0.83</v>
      </c>
      <c r="E11" s="4">
        <v>226.35</v>
      </c>
      <c r="F11" s="6">
        <v>228.5</v>
      </c>
      <c r="G11" s="5">
        <v>3.26</v>
      </c>
      <c r="H11" s="4">
        <v>15.07</v>
      </c>
      <c r="I11" s="4">
        <v>1008.94</v>
      </c>
      <c r="J11" s="6">
        <v>1027.27</v>
      </c>
      <c r="K11" s="5">
        <v>0.02</v>
      </c>
      <c r="L11" s="4">
        <v>11.28</v>
      </c>
      <c r="M11" s="4">
        <v>424.38</v>
      </c>
      <c r="N11" s="6">
        <v>435.68</v>
      </c>
    </row>
    <row r="12" spans="2:14" ht="15.6" x14ac:dyDescent="0.3">
      <c r="B12">
        <v>8</v>
      </c>
      <c r="C12" s="5">
        <v>1.37</v>
      </c>
      <c r="D12" s="4">
        <v>0.83</v>
      </c>
      <c r="E12" s="4">
        <v>248.28</v>
      </c>
      <c r="F12" s="6">
        <v>250.48</v>
      </c>
      <c r="G12" s="5">
        <v>2.37</v>
      </c>
      <c r="H12" s="4">
        <v>18.45</v>
      </c>
      <c r="I12" s="4">
        <v>1153.97</v>
      </c>
      <c r="J12" s="6">
        <v>1174.79</v>
      </c>
      <c r="K12" s="5">
        <v>0.02</v>
      </c>
      <c r="L12" s="4">
        <v>11.58</v>
      </c>
      <c r="M12" s="4">
        <v>415.46</v>
      </c>
      <c r="N12" s="6">
        <v>427.06</v>
      </c>
    </row>
    <row r="13" spans="2:14" ht="15.6" x14ac:dyDescent="0.3">
      <c r="B13">
        <v>9</v>
      </c>
      <c r="C13" s="5">
        <v>1.45</v>
      </c>
      <c r="D13" s="4">
        <v>1.21</v>
      </c>
      <c r="E13" s="4">
        <v>238.97</v>
      </c>
      <c r="F13" s="6">
        <v>241.63</v>
      </c>
      <c r="G13" s="5">
        <v>3.36</v>
      </c>
      <c r="H13" s="4">
        <v>14.32</v>
      </c>
      <c r="I13" s="4">
        <v>1243.4000000000001</v>
      </c>
      <c r="J13" s="6">
        <v>1261.08</v>
      </c>
      <c r="K13" s="5">
        <v>0.02</v>
      </c>
      <c r="L13" s="4">
        <v>12.3</v>
      </c>
      <c r="M13" s="4">
        <v>432.67</v>
      </c>
      <c r="N13" s="6">
        <v>444.99</v>
      </c>
    </row>
    <row r="14" spans="2:14" ht="15.6" x14ac:dyDescent="0.3">
      <c r="B14">
        <v>10</v>
      </c>
      <c r="C14" s="5">
        <v>1.24</v>
      </c>
      <c r="D14" s="4">
        <v>0.78</v>
      </c>
      <c r="E14" s="4">
        <v>198.05</v>
      </c>
      <c r="F14" s="6">
        <v>200.07</v>
      </c>
      <c r="G14" s="5">
        <v>2.9</v>
      </c>
      <c r="H14" s="4">
        <v>18.649999999999999</v>
      </c>
      <c r="I14" s="4">
        <v>629.39</v>
      </c>
      <c r="J14" s="6">
        <v>650.94000000000005</v>
      </c>
      <c r="K14" s="5">
        <v>0.02</v>
      </c>
      <c r="L14" s="4">
        <v>11.09</v>
      </c>
      <c r="M14" s="4">
        <v>439.36</v>
      </c>
      <c r="N14" s="6">
        <v>450.46</v>
      </c>
    </row>
    <row r="15" spans="2:14" ht="15.6" x14ac:dyDescent="0.3">
      <c r="B15">
        <v>11</v>
      </c>
      <c r="C15" s="5">
        <v>1.23</v>
      </c>
      <c r="D15" s="4">
        <v>0.83</v>
      </c>
      <c r="E15" s="4">
        <v>180.84</v>
      </c>
      <c r="F15" s="6">
        <v>182.9</v>
      </c>
      <c r="G15" s="5">
        <v>2.33</v>
      </c>
      <c r="H15" s="4">
        <v>12.38</v>
      </c>
      <c r="I15" s="4">
        <v>957.61</v>
      </c>
      <c r="J15" s="6">
        <v>972.32</v>
      </c>
      <c r="K15" s="5">
        <v>0.02</v>
      </c>
      <c r="L15" s="4">
        <v>10.93</v>
      </c>
      <c r="M15" s="4">
        <v>409.73</v>
      </c>
      <c r="N15" s="6">
        <v>420.68</v>
      </c>
    </row>
    <row r="16" spans="2:14" ht="15.6" x14ac:dyDescent="0.3">
      <c r="B16">
        <v>12</v>
      </c>
      <c r="C16" s="5">
        <v>1.35</v>
      </c>
      <c r="D16" s="4">
        <v>0.89</v>
      </c>
      <c r="E16" s="4">
        <v>224.43</v>
      </c>
      <c r="F16" s="6">
        <v>226.67</v>
      </c>
      <c r="G16" s="5">
        <v>2.79</v>
      </c>
      <c r="H16" s="4">
        <v>9.85</v>
      </c>
      <c r="I16" s="4">
        <v>606.78</v>
      </c>
      <c r="J16" s="6">
        <v>619.41999999999996</v>
      </c>
      <c r="K16" s="5">
        <v>0.02</v>
      </c>
      <c r="L16" s="4">
        <v>11.76</v>
      </c>
      <c r="M16" s="4">
        <v>539.01</v>
      </c>
      <c r="N16" s="6">
        <v>550.79</v>
      </c>
    </row>
    <row r="17" spans="2:14" ht="15.6" x14ac:dyDescent="0.3">
      <c r="B17">
        <v>13</v>
      </c>
      <c r="C17" s="5">
        <v>1.28</v>
      </c>
      <c r="D17" s="4">
        <v>0.8</v>
      </c>
      <c r="E17" s="4">
        <v>188.66</v>
      </c>
      <c r="F17" s="6">
        <v>190.74</v>
      </c>
      <c r="G17" s="5">
        <v>3.37</v>
      </c>
      <c r="H17" s="4">
        <v>13.77</v>
      </c>
      <c r="I17" s="4">
        <v>980.9</v>
      </c>
      <c r="J17" s="6">
        <v>998.03</v>
      </c>
      <c r="K17" s="5">
        <v>0.02</v>
      </c>
      <c r="L17" s="4">
        <v>11.96</v>
      </c>
      <c r="M17" s="4">
        <v>441.7</v>
      </c>
      <c r="N17" s="6">
        <v>453.67</v>
      </c>
    </row>
    <row r="18" spans="2:14" ht="15.6" x14ac:dyDescent="0.3">
      <c r="B18">
        <v>14</v>
      </c>
      <c r="C18" s="5">
        <v>1.24</v>
      </c>
      <c r="D18" s="4">
        <v>0.83</v>
      </c>
      <c r="E18" s="4">
        <v>186.43</v>
      </c>
      <c r="F18" s="6">
        <v>188.5</v>
      </c>
      <c r="G18" s="5">
        <v>2.13</v>
      </c>
      <c r="H18" s="4">
        <v>9.98</v>
      </c>
      <c r="I18" s="4">
        <v>619.04</v>
      </c>
      <c r="J18" s="6">
        <v>631.15</v>
      </c>
      <c r="K18" s="5">
        <v>0.02</v>
      </c>
      <c r="L18" s="4">
        <v>11.7</v>
      </c>
      <c r="M18" s="4">
        <v>445.44</v>
      </c>
      <c r="N18" s="6">
        <v>457.16</v>
      </c>
    </row>
    <row r="19" spans="2:14" ht="15.6" x14ac:dyDescent="0.3">
      <c r="B19">
        <v>15</v>
      </c>
      <c r="C19" s="5">
        <v>1.25</v>
      </c>
      <c r="D19" s="4">
        <v>0.8</v>
      </c>
      <c r="E19" s="4">
        <v>212.72</v>
      </c>
      <c r="F19" s="6">
        <v>214.78</v>
      </c>
      <c r="G19" s="5">
        <v>2.62</v>
      </c>
      <c r="H19" s="4">
        <v>10.51</v>
      </c>
      <c r="I19" s="4">
        <v>782.82</v>
      </c>
      <c r="J19" s="6">
        <v>795.94</v>
      </c>
      <c r="K19" s="5">
        <v>0.02</v>
      </c>
      <c r="L19" s="4">
        <v>11.17</v>
      </c>
      <c r="M19" s="4">
        <v>403.69</v>
      </c>
      <c r="N19" s="6">
        <v>414.87</v>
      </c>
    </row>
    <row r="20" spans="2:14" ht="15.6" x14ac:dyDescent="0.3">
      <c r="B20">
        <v>16</v>
      </c>
      <c r="C20" s="5">
        <v>1.19</v>
      </c>
      <c r="D20" s="4">
        <v>0.75</v>
      </c>
      <c r="E20" s="4">
        <v>180.91</v>
      </c>
      <c r="F20" s="6">
        <v>182.85</v>
      </c>
      <c r="G20" s="5">
        <v>4.71</v>
      </c>
      <c r="H20" s="4">
        <v>13.08</v>
      </c>
      <c r="I20" s="4">
        <v>698.77</v>
      </c>
      <c r="J20" s="6">
        <v>716.56</v>
      </c>
      <c r="K20" s="5">
        <v>0.02</v>
      </c>
      <c r="L20" s="4">
        <v>11.07</v>
      </c>
      <c r="M20" s="4">
        <v>449.62</v>
      </c>
      <c r="N20" s="6">
        <v>460.71</v>
      </c>
    </row>
    <row r="21" spans="2:14" ht="15.6" x14ac:dyDescent="0.3">
      <c r="B21">
        <v>17</v>
      </c>
      <c r="C21" s="5">
        <v>1.36</v>
      </c>
      <c r="D21" s="4">
        <v>0.96</v>
      </c>
      <c r="E21" s="4">
        <v>221.64</v>
      </c>
      <c r="F21" s="6">
        <v>223.96</v>
      </c>
      <c r="G21" s="5">
        <v>2.41</v>
      </c>
      <c r="H21" s="4">
        <v>12.54</v>
      </c>
      <c r="I21" s="4">
        <v>1346.71</v>
      </c>
      <c r="J21" s="6">
        <v>1361.66</v>
      </c>
      <c r="K21" s="5">
        <v>0.02</v>
      </c>
      <c r="L21" s="4">
        <v>15.31</v>
      </c>
      <c r="M21" s="4">
        <v>409.31</v>
      </c>
      <c r="N21" s="6">
        <v>424.64</v>
      </c>
    </row>
    <row r="22" spans="2:14" ht="15.6" x14ac:dyDescent="0.3">
      <c r="B22">
        <v>18</v>
      </c>
      <c r="C22" s="5">
        <v>1.25</v>
      </c>
      <c r="D22" s="4">
        <v>0.85</v>
      </c>
      <c r="E22" s="4">
        <v>182.13</v>
      </c>
      <c r="F22" s="6">
        <v>184.23</v>
      </c>
      <c r="G22" s="5">
        <v>2.04</v>
      </c>
      <c r="H22" s="4">
        <v>29.18</v>
      </c>
      <c r="I22" s="4">
        <v>597.21</v>
      </c>
      <c r="J22" s="6">
        <v>628.42999999999995</v>
      </c>
      <c r="K22" s="5">
        <v>0.02</v>
      </c>
      <c r="L22" s="4">
        <v>11.31</v>
      </c>
      <c r="M22" s="4">
        <v>414.39</v>
      </c>
      <c r="N22" s="6">
        <v>425.72</v>
      </c>
    </row>
    <row r="23" spans="2:14" ht="15.6" x14ac:dyDescent="0.3">
      <c r="B23">
        <v>19</v>
      </c>
      <c r="C23" s="5">
        <v>1.2</v>
      </c>
      <c r="D23" s="4">
        <v>0.81</v>
      </c>
      <c r="E23" s="4">
        <v>189.75</v>
      </c>
      <c r="F23" s="6">
        <v>191.76</v>
      </c>
      <c r="G23" s="5">
        <v>2.41</v>
      </c>
      <c r="H23" s="4">
        <v>12.49</v>
      </c>
      <c r="I23" s="4">
        <v>1150.69</v>
      </c>
      <c r="J23" s="6">
        <v>1165.5899999999999</v>
      </c>
      <c r="K23" s="5">
        <v>0.02</v>
      </c>
      <c r="L23" s="4">
        <v>11.38</v>
      </c>
      <c r="M23" s="4">
        <v>411.39</v>
      </c>
      <c r="N23" s="6">
        <v>422.79</v>
      </c>
    </row>
    <row r="24" spans="2:14" ht="15.6" x14ac:dyDescent="0.3">
      <c r="B24">
        <v>20</v>
      </c>
      <c r="C24" s="5">
        <v>1.25</v>
      </c>
      <c r="D24" s="4">
        <v>0.73</v>
      </c>
      <c r="E24" s="4">
        <v>183.55</v>
      </c>
      <c r="F24" s="6">
        <v>185.52</v>
      </c>
      <c r="G24" s="5">
        <v>1.89</v>
      </c>
      <c r="H24" s="4">
        <v>8.33</v>
      </c>
      <c r="I24" s="4">
        <v>1462.72</v>
      </c>
      <c r="J24" s="6">
        <v>1472.94</v>
      </c>
      <c r="K24" s="5">
        <v>0.02</v>
      </c>
      <c r="L24" s="4">
        <v>11.01</v>
      </c>
      <c r="M24" s="4">
        <v>499.83</v>
      </c>
      <c r="N24" s="6">
        <v>510.86</v>
      </c>
    </row>
    <row r="25" spans="2:14" ht="15.6" x14ac:dyDescent="0.3">
      <c r="B25">
        <v>21</v>
      </c>
      <c r="C25" s="5">
        <v>1.37</v>
      </c>
      <c r="D25" s="4">
        <v>0.81</v>
      </c>
      <c r="E25" s="4">
        <v>217.23</v>
      </c>
      <c r="F25" s="6">
        <v>219.41</v>
      </c>
      <c r="G25" s="5">
        <v>5.0999999999999996</v>
      </c>
      <c r="H25" s="4">
        <v>9.34</v>
      </c>
      <c r="I25" s="4">
        <v>1557.01</v>
      </c>
      <c r="J25" s="6">
        <v>1571.44</v>
      </c>
      <c r="K25" s="5">
        <v>0.02</v>
      </c>
      <c r="L25" s="4">
        <v>11.49</v>
      </c>
      <c r="M25" s="4">
        <v>411</v>
      </c>
      <c r="N25" s="6">
        <v>422.5</v>
      </c>
    </row>
    <row r="26" spans="2:14" ht="15.6" x14ac:dyDescent="0.3">
      <c r="B26">
        <v>22</v>
      </c>
      <c r="C26" s="5">
        <v>1.27</v>
      </c>
      <c r="D26" s="4">
        <v>0.79</v>
      </c>
      <c r="E26" s="4">
        <v>183.2</v>
      </c>
      <c r="F26" s="6">
        <v>185.27</v>
      </c>
      <c r="G26" s="5">
        <v>5.46</v>
      </c>
      <c r="H26" s="4">
        <v>16.690000000000001</v>
      </c>
      <c r="I26" s="4">
        <v>869.87</v>
      </c>
      <c r="J26" s="6">
        <v>919.02</v>
      </c>
      <c r="K26" s="5">
        <v>0.02</v>
      </c>
      <c r="L26" s="4">
        <v>11.3</v>
      </c>
      <c r="M26" s="4">
        <v>452.01</v>
      </c>
      <c r="N26" s="6">
        <v>463.32</v>
      </c>
    </row>
    <row r="27" spans="2:14" ht="15.6" x14ac:dyDescent="0.3">
      <c r="B27">
        <v>23</v>
      </c>
      <c r="C27" s="5">
        <v>1.27</v>
      </c>
      <c r="D27" s="4">
        <v>0.81</v>
      </c>
      <c r="E27" s="4">
        <v>192.69</v>
      </c>
      <c r="F27" s="6">
        <v>194.77</v>
      </c>
      <c r="G27" s="5">
        <v>4.3899999999999997</v>
      </c>
      <c r="H27" s="4">
        <v>13.07</v>
      </c>
      <c r="I27" s="4">
        <v>601.66999999999996</v>
      </c>
      <c r="J27" s="6">
        <v>619.13</v>
      </c>
      <c r="K27" s="5">
        <v>0.02</v>
      </c>
      <c r="L27" s="4">
        <v>11.26</v>
      </c>
      <c r="M27" s="4">
        <v>441.88</v>
      </c>
      <c r="N27" s="6">
        <v>453.15</v>
      </c>
    </row>
    <row r="28" spans="2:14" ht="15.6" x14ac:dyDescent="0.3">
      <c r="B28">
        <v>24</v>
      </c>
      <c r="C28" s="5">
        <v>1.28</v>
      </c>
      <c r="D28" s="4">
        <v>0.81</v>
      </c>
      <c r="E28" s="4">
        <v>190.39</v>
      </c>
      <c r="F28" s="6">
        <v>192.48</v>
      </c>
      <c r="G28" s="5">
        <v>2.38</v>
      </c>
      <c r="H28" s="4">
        <v>11.16</v>
      </c>
      <c r="I28" s="4">
        <v>702.92</v>
      </c>
      <c r="J28" s="6">
        <v>716.46</v>
      </c>
      <c r="K28" s="5">
        <v>0.02</v>
      </c>
      <c r="L28" s="4">
        <v>11.65</v>
      </c>
      <c r="M28" s="4">
        <v>412.96</v>
      </c>
      <c r="N28" s="6">
        <v>424.63</v>
      </c>
    </row>
    <row r="29" spans="2:14" ht="15.6" x14ac:dyDescent="0.3">
      <c r="B29">
        <v>25</v>
      </c>
      <c r="C29" s="5">
        <v>1.32</v>
      </c>
      <c r="D29" s="4">
        <v>0.79</v>
      </c>
      <c r="E29" s="4">
        <v>212.66</v>
      </c>
      <c r="F29" s="6">
        <v>214.78</v>
      </c>
      <c r="G29" s="5">
        <v>2.06</v>
      </c>
      <c r="H29" s="4">
        <v>11.4</v>
      </c>
      <c r="I29" s="4">
        <v>694.03</v>
      </c>
      <c r="J29" s="6">
        <v>707.5</v>
      </c>
      <c r="K29" s="5">
        <v>0.02</v>
      </c>
      <c r="L29" s="4">
        <v>11.63</v>
      </c>
      <c r="M29" s="4">
        <v>412.06</v>
      </c>
      <c r="N29" s="6">
        <v>423.7</v>
      </c>
    </row>
    <row r="30" spans="2:14" ht="15.6" x14ac:dyDescent="0.3">
      <c r="B30">
        <v>26</v>
      </c>
      <c r="C30" s="5">
        <v>1.47</v>
      </c>
      <c r="D30" s="4">
        <v>0.95</v>
      </c>
      <c r="E30" s="4">
        <v>205.74</v>
      </c>
      <c r="F30" s="6">
        <v>208.16</v>
      </c>
      <c r="G30" s="5">
        <v>3.46</v>
      </c>
      <c r="H30" s="4">
        <v>11.97</v>
      </c>
      <c r="I30" s="4">
        <v>1351.89</v>
      </c>
      <c r="J30" s="6">
        <v>1367.32</v>
      </c>
      <c r="K30" s="5">
        <v>0.02</v>
      </c>
      <c r="L30" s="4">
        <v>10.96</v>
      </c>
      <c r="M30" s="4">
        <v>393.42</v>
      </c>
      <c r="N30" s="6">
        <v>404.36</v>
      </c>
    </row>
    <row r="31" spans="2:14" ht="15.6" x14ac:dyDescent="0.3">
      <c r="B31">
        <v>27</v>
      </c>
      <c r="C31" s="5">
        <v>1.24</v>
      </c>
      <c r="D31" s="4">
        <v>0.78</v>
      </c>
      <c r="E31" s="4">
        <v>196.76</v>
      </c>
      <c r="F31" s="6">
        <v>198.78</v>
      </c>
      <c r="G31" s="5">
        <v>2.21</v>
      </c>
      <c r="H31" s="4">
        <v>12.38</v>
      </c>
      <c r="I31" s="4">
        <v>656.43</v>
      </c>
      <c r="J31" s="6">
        <v>671.02</v>
      </c>
      <c r="K31" s="5">
        <v>0.02</v>
      </c>
      <c r="L31" s="4">
        <v>11.35</v>
      </c>
      <c r="M31" s="4">
        <v>425.29</v>
      </c>
      <c r="N31" s="6">
        <v>436.65</v>
      </c>
    </row>
    <row r="32" spans="2:14" ht="15.6" x14ac:dyDescent="0.3">
      <c r="B32">
        <v>28</v>
      </c>
      <c r="C32" s="5">
        <v>1.41</v>
      </c>
      <c r="D32" s="4">
        <v>0.82</v>
      </c>
      <c r="E32" s="4">
        <v>190.92</v>
      </c>
      <c r="F32" s="6">
        <v>193.15</v>
      </c>
      <c r="G32" s="5">
        <v>5.69</v>
      </c>
      <c r="H32" s="4">
        <v>18.3</v>
      </c>
      <c r="I32" s="4">
        <v>589.42999999999995</v>
      </c>
      <c r="J32" s="6">
        <v>613.41999999999996</v>
      </c>
      <c r="K32" s="5">
        <v>0.02</v>
      </c>
      <c r="L32" s="4">
        <v>11.34</v>
      </c>
      <c r="M32" s="4">
        <v>396.12</v>
      </c>
      <c r="N32" s="6">
        <v>407.48</v>
      </c>
    </row>
    <row r="33" spans="2:14" ht="15.6" x14ac:dyDescent="0.3">
      <c r="B33">
        <v>29</v>
      </c>
      <c r="C33" s="5">
        <v>1.45</v>
      </c>
      <c r="D33" s="4">
        <v>0.86</v>
      </c>
      <c r="E33" s="4">
        <v>217.67</v>
      </c>
      <c r="F33" s="6">
        <v>219.98</v>
      </c>
      <c r="G33" s="5">
        <v>3.36</v>
      </c>
      <c r="H33" s="4">
        <v>9.14</v>
      </c>
      <c r="I33" s="4">
        <v>1027.3499999999999</v>
      </c>
      <c r="J33" s="6">
        <v>1039.8499999999999</v>
      </c>
      <c r="K33" s="5">
        <v>0.02</v>
      </c>
      <c r="L33" s="4">
        <v>11.55</v>
      </c>
      <c r="M33" s="4">
        <v>417.02</v>
      </c>
      <c r="N33" s="6">
        <v>428.6</v>
      </c>
    </row>
    <row r="34" spans="2:14" ht="16.2" thickBot="1" x14ac:dyDescent="0.35">
      <c r="B34">
        <v>30</v>
      </c>
      <c r="C34" s="7">
        <v>1.49</v>
      </c>
      <c r="D34" s="8">
        <v>0.89</v>
      </c>
      <c r="E34" s="8">
        <v>242.06</v>
      </c>
      <c r="F34" s="9">
        <v>244.45</v>
      </c>
      <c r="G34" s="7">
        <v>4.5199999999999996</v>
      </c>
      <c r="H34" s="8">
        <v>9.34</v>
      </c>
      <c r="I34" s="8">
        <v>1198.51</v>
      </c>
      <c r="J34" s="9">
        <v>1212.3800000000001</v>
      </c>
      <c r="K34" s="7">
        <v>0.02</v>
      </c>
      <c r="L34" s="8">
        <v>11.82</v>
      </c>
      <c r="M34" s="8">
        <v>427.67</v>
      </c>
      <c r="N34" s="9">
        <v>439.51</v>
      </c>
    </row>
    <row r="35" spans="2:14" ht="15" thickBot="1" x14ac:dyDescent="0.35"/>
    <row r="36" spans="2:14" ht="15" thickBot="1" x14ac:dyDescent="0.35">
      <c r="B36" s="13"/>
      <c r="C36" s="29" t="s">
        <v>0</v>
      </c>
      <c r="D36" s="30" t="s">
        <v>1</v>
      </c>
      <c r="E36" s="30" t="s">
        <v>2</v>
      </c>
      <c r="F36" s="31" t="s">
        <v>3</v>
      </c>
      <c r="G36" s="32" t="s">
        <v>4</v>
      </c>
      <c r="H36" s="33" t="s">
        <v>5</v>
      </c>
      <c r="I36" s="33" t="s">
        <v>6</v>
      </c>
      <c r="J36" s="34" t="s">
        <v>7</v>
      </c>
      <c r="K36" s="35" t="s">
        <v>8</v>
      </c>
      <c r="L36" s="36" t="s">
        <v>9</v>
      </c>
      <c r="M36" s="36" t="s">
        <v>10</v>
      </c>
      <c r="N36" s="37" t="s">
        <v>11</v>
      </c>
    </row>
    <row r="37" spans="2:14" x14ac:dyDescent="0.3">
      <c r="B37" s="10" t="s">
        <v>15</v>
      </c>
      <c r="C37" s="20">
        <f t="shared" ref="C37:N37" si="0">AVERAGE(C5:C34)</f>
        <v>1.306</v>
      </c>
      <c r="D37" s="21">
        <f t="shared" si="0"/>
        <v>0.84133333333333327</v>
      </c>
      <c r="E37" s="21">
        <f t="shared" si="0"/>
        <v>203.59466666666665</v>
      </c>
      <c r="F37" s="22">
        <f t="shared" si="0"/>
        <v>205.74866666666665</v>
      </c>
      <c r="G37" s="20">
        <f t="shared" si="0"/>
        <v>3.3369999999999989</v>
      </c>
      <c r="H37" s="21">
        <f t="shared" si="0"/>
        <v>13.564333333333332</v>
      </c>
      <c r="I37" s="21">
        <f t="shared" si="0"/>
        <v>991.44466666666619</v>
      </c>
      <c r="J37" s="22">
        <f t="shared" si="0"/>
        <v>1009.279</v>
      </c>
      <c r="K37" s="20">
        <f t="shared" si="0"/>
        <v>2.0000000000000007E-2</v>
      </c>
      <c r="L37" s="21">
        <f t="shared" si="0"/>
        <v>11.507999999999999</v>
      </c>
      <c r="M37" s="21">
        <f t="shared" si="0"/>
        <v>427.2673333333334</v>
      </c>
      <c r="N37" s="22">
        <f t="shared" si="0"/>
        <v>438.7913333333334</v>
      </c>
    </row>
    <row r="38" spans="2:14" x14ac:dyDescent="0.3">
      <c r="B38" s="11" t="s">
        <v>16</v>
      </c>
      <c r="C38" s="23">
        <f>MEDIAN(C5:C34)</f>
        <v>1.28</v>
      </c>
      <c r="D38" s="24">
        <f>MEDIAN(D5:D34)</f>
        <v>0.82</v>
      </c>
      <c r="E38" s="24">
        <f t="shared" ref="E38:N38" si="1">MEDIAN(E5:E34)</f>
        <v>198.73500000000001</v>
      </c>
      <c r="F38" s="25">
        <f t="shared" si="1"/>
        <v>200.85499999999999</v>
      </c>
      <c r="G38" s="23">
        <f t="shared" si="1"/>
        <v>2.8449999999999998</v>
      </c>
      <c r="H38" s="24">
        <f t="shared" si="1"/>
        <v>12.435</v>
      </c>
      <c r="I38" s="24">
        <f t="shared" si="1"/>
        <v>913.74</v>
      </c>
      <c r="J38" s="25">
        <f t="shared" si="1"/>
        <v>945.67000000000007</v>
      </c>
      <c r="K38" s="23">
        <f t="shared" si="1"/>
        <v>0.02</v>
      </c>
      <c r="L38" s="24">
        <f t="shared" si="1"/>
        <v>11.324999999999999</v>
      </c>
      <c r="M38" s="24">
        <f t="shared" si="1"/>
        <v>416.24</v>
      </c>
      <c r="N38" s="25">
        <f t="shared" si="1"/>
        <v>427.83000000000004</v>
      </c>
    </row>
    <row r="39" spans="2:14" x14ac:dyDescent="0.3">
      <c r="B39" s="11" t="s">
        <v>17</v>
      </c>
      <c r="C39" s="23">
        <f>MIN(C5:C34)</f>
        <v>1.08</v>
      </c>
      <c r="D39" s="24">
        <f>MIN(D5:D34)</f>
        <v>0.73</v>
      </c>
      <c r="E39" s="24">
        <f t="shared" ref="E39:N39" si="2">MIN(E5:E34)</f>
        <v>180.84</v>
      </c>
      <c r="F39" s="25">
        <f t="shared" si="2"/>
        <v>182.85</v>
      </c>
      <c r="G39" s="23">
        <f>MIN(G5:G34)</f>
        <v>1.89</v>
      </c>
      <c r="H39" s="24">
        <f t="shared" si="2"/>
        <v>8.33</v>
      </c>
      <c r="I39" s="24">
        <f t="shared" si="2"/>
        <v>589.42999999999995</v>
      </c>
      <c r="J39" s="25">
        <f t="shared" si="2"/>
        <v>613.41999999999996</v>
      </c>
      <c r="K39" s="23">
        <f t="shared" si="2"/>
        <v>0.02</v>
      </c>
      <c r="L39" s="24">
        <f t="shared" si="2"/>
        <v>10.92</v>
      </c>
      <c r="M39" s="24">
        <f t="shared" si="2"/>
        <v>393.42</v>
      </c>
      <c r="N39" s="25">
        <f t="shared" si="2"/>
        <v>404.36</v>
      </c>
    </row>
    <row r="40" spans="2:14" ht="15" thickBot="1" x14ac:dyDescent="0.35">
      <c r="B40" s="12" t="s">
        <v>18</v>
      </c>
      <c r="C40" s="26">
        <f>MAX(C5:C34)</f>
        <v>1.56</v>
      </c>
      <c r="D40" s="27">
        <f>MAX(D5:D34)</f>
        <v>1.21</v>
      </c>
      <c r="E40" s="27">
        <f t="shared" ref="E40:N40" si="3">MAX(E5:E34)</f>
        <v>248.28</v>
      </c>
      <c r="F40" s="28">
        <f t="shared" si="3"/>
        <v>250.48</v>
      </c>
      <c r="G40" s="26">
        <f t="shared" si="3"/>
        <v>6.95</v>
      </c>
      <c r="H40" s="27">
        <f t="shared" si="3"/>
        <v>29.18</v>
      </c>
      <c r="I40" s="27">
        <f t="shared" si="3"/>
        <v>1940.87</v>
      </c>
      <c r="J40" s="28">
        <f t="shared" si="3"/>
        <v>1957.63</v>
      </c>
      <c r="K40" s="26">
        <f t="shared" si="3"/>
        <v>0.02</v>
      </c>
      <c r="L40" s="27">
        <f t="shared" si="3"/>
        <v>15.31</v>
      </c>
      <c r="M40" s="27">
        <f t="shared" si="3"/>
        <v>539.01</v>
      </c>
      <c r="N40" s="28">
        <f t="shared" si="3"/>
        <v>550.79</v>
      </c>
    </row>
  </sheetData>
  <mergeCells count="3">
    <mergeCell ref="C3:F3"/>
    <mergeCell ref="G3:J3"/>
    <mergeCell ref="K3:N3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79A1-05FB-40B3-94F1-FC8342903240}">
  <dimension ref="B1:O12"/>
  <sheetViews>
    <sheetView tabSelected="1" zoomScale="103" workbookViewId="0">
      <selection activeCell="C7" sqref="B4:C7"/>
    </sheetView>
  </sheetViews>
  <sheetFormatPr defaultRowHeight="14.4" x14ac:dyDescent="0.3"/>
  <cols>
    <col min="3" max="3" width="20.77734375" bestFit="1" customWidth="1"/>
    <col min="4" max="4" width="18.88671875" bestFit="1" customWidth="1"/>
    <col min="5" max="5" width="21.33203125" bestFit="1" customWidth="1"/>
    <col min="7" max="7" width="8.109375" bestFit="1" customWidth="1"/>
    <col min="8" max="8" width="20.77734375" bestFit="1" customWidth="1"/>
    <col min="9" max="9" width="18.88671875" bestFit="1" customWidth="1"/>
    <col min="10" max="10" width="21.33203125" bestFit="1" customWidth="1"/>
    <col min="13" max="13" width="20.77734375" bestFit="1" customWidth="1"/>
    <col min="14" max="14" width="18.88671875" bestFit="1" customWidth="1"/>
    <col min="15" max="15" width="21.33203125" bestFit="1" customWidth="1"/>
  </cols>
  <sheetData>
    <row r="1" spans="2:15" ht="15" thickBot="1" x14ac:dyDescent="0.35"/>
    <row r="2" spans="2:15" ht="18.600000000000001" thickBot="1" x14ac:dyDescent="0.4">
      <c r="B2" s="47" t="s">
        <v>19</v>
      </c>
      <c r="C2" s="48"/>
      <c r="D2" s="48"/>
      <c r="E2" s="49"/>
      <c r="G2" s="47" t="s">
        <v>20</v>
      </c>
      <c r="H2" s="48"/>
      <c r="I2" s="48"/>
      <c r="J2" s="49"/>
    </row>
    <row r="3" spans="2:15" ht="16.2" thickBot="1" x14ac:dyDescent="0.35">
      <c r="B3" s="14"/>
      <c r="C3" s="15" t="s">
        <v>3</v>
      </c>
      <c r="D3" s="15" t="s">
        <v>7</v>
      </c>
      <c r="E3" s="16" t="s">
        <v>11</v>
      </c>
      <c r="G3" s="14"/>
      <c r="H3" s="56" t="s">
        <v>3</v>
      </c>
      <c r="I3" s="57" t="s">
        <v>7</v>
      </c>
      <c r="J3" s="58" t="s">
        <v>11</v>
      </c>
    </row>
    <row r="4" spans="2:15" ht="15.6" x14ac:dyDescent="0.3">
      <c r="B4" s="17" t="s">
        <v>15</v>
      </c>
      <c r="C4" s="4">
        <v>315.16566666666671</v>
      </c>
      <c r="D4" s="4">
        <v>1352.7216666666661</v>
      </c>
      <c r="E4" s="6">
        <v>692.83066666666684</v>
      </c>
      <c r="G4" s="59" t="s">
        <v>15</v>
      </c>
      <c r="H4" s="4">
        <v>205.74866666666665</v>
      </c>
      <c r="I4" s="4">
        <v>1009.279</v>
      </c>
      <c r="J4" s="6">
        <v>438.7913333333334</v>
      </c>
    </row>
    <row r="5" spans="2:15" ht="15.6" x14ac:dyDescent="0.3">
      <c r="B5" s="17" t="s">
        <v>16</v>
      </c>
      <c r="C5" s="4">
        <v>323.09500000000003</v>
      </c>
      <c r="D5" s="4">
        <v>1261.5650000000001</v>
      </c>
      <c r="E5" s="6">
        <v>700.98</v>
      </c>
      <c r="G5" s="60" t="s">
        <v>16</v>
      </c>
      <c r="H5" s="4">
        <v>200.85499999999999</v>
      </c>
      <c r="I5" s="4">
        <v>945.67000000000007</v>
      </c>
      <c r="J5" s="6">
        <v>427.83000000000004</v>
      </c>
    </row>
    <row r="6" spans="2:15" ht="15.6" x14ac:dyDescent="0.3">
      <c r="B6" s="17" t="s">
        <v>17</v>
      </c>
      <c r="C6" s="4">
        <v>244.03</v>
      </c>
      <c r="D6" s="4">
        <v>864.68</v>
      </c>
      <c r="E6" s="6">
        <v>561.39</v>
      </c>
      <c r="G6" s="60" t="s">
        <v>17</v>
      </c>
      <c r="H6" s="4">
        <v>182.85</v>
      </c>
      <c r="I6" s="4">
        <v>613.41999999999996</v>
      </c>
      <c r="J6" s="6">
        <v>404.36</v>
      </c>
    </row>
    <row r="7" spans="2:15" ht="16.2" thickBot="1" x14ac:dyDescent="0.35">
      <c r="B7" s="18" t="s">
        <v>18</v>
      </c>
      <c r="C7" s="8">
        <v>366.71</v>
      </c>
      <c r="D7" s="8">
        <v>2541.5700000000002</v>
      </c>
      <c r="E7" s="9">
        <v>802.34</v>
      </c>
      <c r="G7" s="61" t="s">
        <v>18</v>
      </c>
      <c r="H7" s="8">
        <v>250.48</v>
      </c>
      <c r="I7" s="8">
        <v>1957.63</v>
      </c>
      <c r="J7" s="9">
        <v>550.79</v>
      </c>
    </row>
    <row r="8" spans="2:15" ht="15" thickBot="1" x14ac:dyDescent="0.35"/>
    <row r="9" spans="2:15" ht="15" thickBot="1" x14ac:dyDescent="0.35">
      <c r="L9" s="50" t="s">
        <v>23</v>
      </c>
      <c r="M9" s="51"/>
      <c r="N9" s="51"/>
      <c r="O9" s="52"/>
    </row>
    <row r="10" spans="2:15" ht="16.2" thickBot="1" x14ac:dyDescent="0.35">
      <c r="L10" s="13"/>
      <c r="M10" s="56" t="s">
        <v>3</v>
      </c>
      <c r="N10" s="57" t="s">
        <v>7</v>
      </c>
      <c r="O10" s="58" t="s">
        <v>11</v>
      </c>
    </row>
    <row r="11" spans="2:15" ht="15.6" x14ac:dyDescent="0.3">
      <c r="L11" s="54" t="s">
        <v>21</v>
      </c>
      <c r="M11" s="5">
        <v>315.16566666666671</v>
      </c>
      <c r="N11" s="53">
        <v>1352.7216666666661</v>
      </c>
      <c r="O11" s="6">
        <v>692.83066666666684</v>
      </c>
    </row>
    <row r="12" spans="2:15" ht="16.2" thickBot="1" x14ac:dyDescent="0.35">
      <c r="L12" s="55" t="s">
        <v>22</v>
      </c>
      <c r="M12" s="7">
        <v>205.74866666666665</v>
      </c>
      <c r="N12" s="8">
        <v>1009.279</v>
      </c>
      <c r="O12" s="9">
        <v>438.7913333333334</v>
      </c>
    </row>
  </sheetData>
  <mergeCells count="3">
    <mergeCell ref="B2:E2"/>
    <mergeCell ref="G2:J2"/>
    <mergeCell ref="L9:O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Stolní PC</vt:lpstr>
      <vt:lpstr>Notebook</vt:lpstr>
      <vt:lpstr>Shrnuti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Prachař Daniel (240969)</dc:creator>
  <cp:lastModifiedBy>Prachař Daniel (240969)</cp:lastModifiedBy>
  <dcterms:created xsi:type="dcterms:W3CDTF">2026-05-13T16:56:45Z</dcterms:created>
  <dcterms:modified xsi:type="dcterms:W3CDTF">2026-05-22T14:10:45Z</dcterms:modified>
</cp:coreProperties>
</file>